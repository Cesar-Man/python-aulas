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ocuments\py\"/>
    </mc:Choice>
  </mc:AlternateContent>
  <bookViews>
    <workbookView xWindow="0" yWindow="0" windowWidth="17970" windowHeight="5940" activeTab="2"/>
  </bookViews>
  <sheets>
    <sheet name="Instruções SE" sheetId="1" r:id="rId1"/>
    <sheet name="Instruções PROCV" sheetId="2" r:id="rId2"/>
    <sheet name="Exercici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3" l="1"/>
  <c r="E17" i="3" s="1"/>
  <c r="E18" i="3"/>
  <c r="E16" i="3"/>
  <c r="F18" i="3"/>
  <c r="F16" i="3"/>
  <c r="D18" i="3"/>
  <c r="D16" i="3"/>
  <c r="E8" i="3"/>
  <c r="E7" i="3"/>
  <c r="E6" i="3"/>
  <c r="B6" i="2"/>
  <c r="D8" i="1"/>
  <c r="D6" i="1"/>
  <c r="D5" i="1"/>
  <c r="E8" i="1"/>
  <c r="E6" i="1"/>
  <c r="E5" i="1"/>
  <c r="F17" i="3" l="1"/>
</calcChain>
</file>

<file path=xl/sharedStrings.xml><?xml version="1.0" encoding="utf-8"?>
<sst xmlns="http://schemas.openxmlformats.org/spreadsheetml/2006/main" count="33" uniqueCount="27">
  <si>
    <t>Banana</t>
  </si>
  <si>
    <t>laranja</t>
  </si>
  <si>
    <t>Instruçoes SE</t>
  </si>
  <si>
    <t>Frutas</t>
  </si>
  <si>
    <t>Valor</t>
  </si>
  <si>
    <t>Instruçoes PROCV</t>
  </si>
  <si>
    <t>uva</t>
  </si>
  <si>
    <t>VERIFICAR QUAIS DOCUMENTOS ESTAO VENCIDOS.</t>
  </si>
  <si>
    <t>A LOGICA SERA COMPARAR A DATA DE VENCIMENTO COM A DATA DO DIA CORRENTE</t>
  </si>
  <si>
    <t>BOLETO</t>
  </si>
  <si>
    <t>VALOR</t>
  </si>
  <si>
    <t>DT VENCTO</t>
  </si>
  <si>
    <t xml:space="preserve">HOJE É </t>
  </si>
  <si>
    <t>VENCIDO</t>
  </si>
  <si>
    <t>CALCULAR PORCENTAGEM DE COMIÇAO DE 2% OU 5%</t>
  </si>
  <si>
    <t>LOGICA SERA COMPARAR VALOR DE VENDA COM UMA META</t>
  </si>
  <si>
    <t>VENDEDOR</t>
  </si>
  <si>
    <t>META</t>
  </si>
  <si>
    <t>REALIZADO</t>
  </si>
  <si>
    <t>ATINGIU</t>
  </si>
  <si>
    <t>COMIÇAO</t>
  </si>
  <si>
    <t>PREMIO</t>
  </si>
  <si>
    <t>PEDRO</t>
  </si>
  <si>
    <t>GUSTAVO</t>
  </si>
  <si>
    <t>JOAO</t>
  </si>
  <si>
    <t>SE ATINGIR</t>
  </si>
  <si>
    <t>SE NÃO ATINGIR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</si>
</sst>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44" fontId="0" fillId="0" borderId="0" xfId="1" applyFont="1"/>
    <xf numFmtId="0" fontId="0" fillId="6" borderId="0" xfId="0" applyFill="1"/>
    <xf numFmtId="44" fontId="0" fillId="6" borderId="0" xfId="1" applyFont="1" applyFill="1"/>
    <xf numFmtId="14" fontId="0" fillId="6" borderId="0" xfId="1" applyNumberFormat="1" applyFont="1" applyFill="1"/>
    <xf numFmtId="14" fontId="0" fillId="6" borderId="0" xfId="0" applyNumberFormat="1" applyFill="1"/>
    <xf numFmtId="0" fontId="0" fillId="7" borderId="0" xfId="0" applyFill="1"/>
    <xf numFmtId="10" fontId="0" fillId="0" borderId="0" xfId="0" applyNumberFormat="1"/>
    <xf numFmtId="9" fontId="0" fillId="0" borderId="0" xfId="0" applyNumberFormat="1"/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8"/>
  <sheetViews>
    <sheetView zoomScale="220" zoomScaleNormal="220" workbookViewId="0">
      <selection activeCell="C7" sqref="C7"/>
    </sheetView>
  </sheetViews>
  <sheetFormatPr defaultRowHeight="15" x14ac:dyDescent="0.25"/>
  <cols>
    <col min="1" max="1" width="10.140625" bestFit="1" customWidth="1"/>
    <col min="4" max="4" width="12.42578125" bestFit="1" customWidth="1"/>
  </cols>
  <sheetData>
    <row r="4" spans="3:5" x14ac:dyDescent="0.25">
      <c r="C4" s="6" t="s">
        <v>2</v>
      </c>
      <c r="D4" s="6"/>
    </row>
    <row r="5" spans="3:5" x14ac:dyDescent="0.25">
      <c r="C5" s="3" t="s">
        <v>0</v>
      </c>
      <c r="D5" s="2" t="b">
        <f>IF(C5="Banana",TRUE,FALSE)</f>
        <v>1</v>
      </c>
      <c r="E5" t="str">
        <f ca="1">_xlfn.FORMULATEXT(D5)</f>
        <v>=SE(C5="Banana";VERDADEIRO;FALSO)</v>
      </c>
    </row>
    <row r="6" spans="3:5" x14ac:dyDescent="0.25">
      <c r="C6" s="3" t="s">
        <v>1</v>
      </c>
      <c r="D6" s="2" t="b">
        <f>IF(C6="Banana",TRUE,FALSE)</f>
        <v>0</v>
      </c>
      <c r="E6" t="str">
        <f ca="1">_xlfn.FORMULATEXT(D6)</f>
        <v>=SE(C6="Banana";VERDADEIRO;FALSO)</v>
      </c>
    </row>
    <row r="8" spans="3:5" x14ac:dyDescent="0.25">
      <c r="C8" s="5">
        <v>101</v>
      </c>
      <c r="D8" s="2" t="str">
        <f>IF(C8&lt;100,"Menor que 100","Maior que 100")</f>
        <v>Maior que 100</v>
      </c>
      <c r="E8" t="str">
        <f ca="1">_xlfn.FORMULATEXT(D8)</f>
        <v>=SE(C8&lt;100;"Menor que 100";"Maior que 100")</v>
      </c>
    </row>
  </sheetData>
  <mergeCells count="1">
    <mergeCell ref="C4:D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220" zoomScaleNormal="220" workbookViewId="0">
      <selection activeCell="B6" sqref="B6"/>
    </sheetView>
  </sheetViews>
  <sheetFormatPr defaultRowHeight="15" x14ac:dyDescent="0.25"/>
  <cols>
    <col min="1" max="1" width="10.140625" bestFit="1" customWidth="1"/>
    <col min="4" max="4" width="12.42578125" bestFit="1" customWidth="1"/>
  </cols>
  <sheetData>
    <row r="1" spans="1:2" x14ac:dyDescent="0.25">
      <c r="A1" s="6" t="s">
        <v>5</v>
      </c>
      <c r="B1" s="6"/>
    </row>
    <row r="2" spans="1:2" x14ac:dyDescent="0.25">
      <c r="A2" s="1" t="s">
        <v>3</v>
      </c>
      <c r="B2" s="1" t="s">
        <v>4</v>
      </c>
    </row>
    <row r="3" spans="1:2" x14ac:dyDescent="0.25">
      <c r="A3" s="3" t="s">
        <v>0</v>
      </c>
      <c r="B3" s="2">
        <v>55</v>
      </c>
    </row>
    <row r="4" spans="1:2" x14ac:dyDescent="0.25">
      <c r="A4" s="3" t="s">
        <v>1</v>
      </c>
      <c r="B4" s="2">
        <v>10</v>
      </c>
    </row>
    <row r="6" spans="1:2" x14ac:dyDescent="0.25">
      <c r="A6" s="5" t="s">
        <v>6</v>
      </c>
      <c r="B6" s="2" t="str">
        <f>IFERROR(VLOOKUP(A6,A3:B4,2,FALSE),"Produto não localizado")</f>
        <v>Produto não localizado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tabSelected="1" topLeftCell="B7" zoomScale="154" zoomScaleNormal="154" workbookViewId="0">
      <selection activeCell="K15" sqref="K15"/>
    </sheetView>
  </sheetViews>
  <sheetFormatPr defaultRowHeight="15" x14ac:dyDescent="0.25"/>
  <cols>
    <col min="2" max="3" width="13.7109375" bestFit="1" customWidth="1"/>
    <col min="4" max="4" width="16.5703125" bestFit="1" customWidth="1"/>
    <col min="5" max="5" width="13.28515625" bestFit="1" customWidth="1"/>
    <col min="6" max="6" width="11" bestFit="1" customWidth="1"/>
    <col min="8" max="8" width="10.7109375" bestFit="1" customWidth="1"/>
    <col min="9" max="9" width="15.42578125" bestFit="1" customWidth="1"/>
    <col min="10" max="10" width="10.7109375" bestFit="1" customWidth="1"/>
    <col min="11" max="11" width="15.42578125" bestFit="1" customWidth="1"/>
  </cols>
  <sheetData>
    <row r="2" spans="1:11" x14ac:dyDescent="0.25">
      <c r="A2" s="12" t="s">
        <v>7</v>
      </c>
      <c r="B2" s="12"/>
      <c r="C2" s="12"/>
      <c r="D2" s="12"/>
      <c r="E2" s="12"/>
      <c r="F2" s="12"/>
      <c r="G2" s="12"/>
    </row>
    <row r="3" spans="1:11" x14ac:dyDescent="0.25">
      <c r="A3" s="12" t="s">
        <v>8</v>
      </c>
      <c r="B3" s="12"/>
      <c r="C3" s="12"/>
      <c r="D3" s="12"/>
      <c r="E3" s="12"/>
      <c r="F3" s="12"/>
      <c r="G3" s="12"/>
    </row>
    <row r="5" spans="1:11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</row>
    <row r="6" spans="1:11" x14ac:dyDescent="0.25">
      <c r="A6" s="8">
        <v>1001</v>
      </c>
      <c r="B6" s="9">
        <v>2900</v>
      </c>
      <c r="C6" s="10">
        <v>46109</v>
      </c>
      <c r="D6" s="11">
        <v>46156</v>
      </c>
      <c r="E6" s="2" t="str">
        <f>IF(C6&lt;D6,"SIM","NÃO")</f>
        <v>SIM</v>
      </c>
    </row>
    <row r="7" spans="1:11" x14ac:dyDescent="0.25">
      <c r="A7" s="8">
        <v>1002</v>
      </c>
      <c r="B7" s="9">
        <v>3051</v>
      </c>
      <c r="C7" s="11">
        <v>46170</v>
      </c>
      <c r="D7" s="11">
        <v>46156</v>
      </c>
      <c r="E7" s="2" t="str">
        <f t="shared" ref="E7:E8" si="0">IF(C7&lt;D7,"SIM","NÃO")</f>
        <v>NÃO</v>
      </c>
    </row>
    <row r="8" spans="1:11" x14ac:dyDescent="0.25">
      <c r="A8" s="8">
        <v>1003</v>
      </c>
      <c r="B8" s="9">
        <v>1855</v>
      </c>
      <c r="C8" s="11">
        <v>46140</v>
      </c>
      <c r="D8" s="11">
        <v>46156</v>
      </c>
      <c r="E8" s="2" t="str">
        <f t="shared" si="0"/>
        <v>SIM</v>
      </c>
    </row>
    <row r="12" spans="1:11" x14ac:dyDescent="0.25">
      <c r="A12" t="s">
        <v>14</v>
      </c>
    </row>
    <row r="13" spans="1:11" x14ac:dyDescent="0.25">
      <c r="A13" t="s">
        <v>15</v>
      </c>
    </row>
    <row r="15" spans="1:11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I15" t="s">
        <v>16</v>
      </c>
      <c r="J15" t="s">
        <v>25</v>
      </c>
      <c r="K15" s="15" t="s">
        <v>26</v>
      </c>
    </row>
    <row r="16" spans="1:11" x14ac:dyDescent="0.25">
      <c r="A16" t="s">
        <v>22</v>
      </c>
      <c r="B16" s="7">
        <v>25000</v>
      </c>
      <c r="C16" s="7">
        <v>23780</v>
      </c>
      <c r="D16" t="str">
        <f>IF(B16&lt;=C16,"Meta atingida","Falhou em atingir")</f>
        <v>Falhou em atingir</v>
      </c>
      <c r="E16" s="7">
        <f>IF(D16 = "Meta atingida",C16 * 2.5%%,C16 * 0.5%)</f>
        <v>118.9</v>
      </c>
      <c r="F16" s="7">
        <f>IF(D16 = "Meta atingida",500,0)</f>
        <v>0</v>
      </c>
      <c r="I16" t="s">
        <v>22</v>
      </c>
      <c r="J16" s="13">
        <v>2.5000000000000001E-2</v>
      </c>
      <c r="K16" s="13">
        <v>5.0000000000000001E-3</v>
      </c>
    </row>
    <row r="17" spans="1:11" x14ac:dyDescent="0.25">
      <c r="A17" t="s">
        <v>23</v>
      </c>
      <c r="B17" s="7">
        <v>25000</v>
      </c>
      <c r="C17" s="7">
        <v>38532</v>
      </c>
      <c r="D17" t="str">
        <f>IF(B17&lt;=C17,"Meta atingida","Falhou em atingir")</f>
        <v>Meta atingida</v>
      </c>
      <c r="E17" s="7">
        <f>IF(D17 = "Meta atingida",C17 * 5%,C17 * 1%)</f>
        <v>1926.6000000000001</v>
      </c>
      <c r="F17" s="7">
        <f t="shared" ref="F17:F18" si="1">IF(D17 = "Meta atingida",500,0)</f>
        <v>500</v>
      </c>
      <c r="I17" t="s">
        <v>23</v>
      </c>
      <c r="J17" s="14">
        <v>0.05</v>
      </c>
      <c r="K17" s="14">
        <v>0.01</v>
      </c>
    </row>
    <row r="18" spans="1:11" x14ac:dyDescent="0.25">
      <c r="A18" t="s">
        <v>24</v>
      </c>
      <c r="B18" s="7">
        <v>25000</v>
      </c>
      <c r="C18" s="7">
        <v>32178</v>
      </c>
      <c r="D18" t="str">
        <f>IF(B18&lt;=C18,"Meta atingida","Falhou em atingir")</f>
        <v>Meta atingida</v>
      </c>
      <c r="E18" s="7">
        <f>IF(D18 = "Meta atingida",C18 * 10%,C18 * 5%)</f>
        <v>3217.8</v>
      </c>
      <c r="F18" s="7">
        <f t="shared" si="1"/>
        <v>500</v>
      </c>
      <c r="I18" t="s">
        <v>24</v>
      </c>
      <c r="J18" s="14">
        <v>0.1</v>
      </c>
      <c r="K18" s="14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 SE</vt:lpstr>
      <vt:lpstr>Instruções PROCV</vt:lpstr>
      <vt:lpstr>Exercicios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2026-05-14T11:30:02Z</dcterms:created>
  <dcterms:modified xsi:type="dcterms:W3CDTF">2026-05-14T12:56:25Z</dcterms:modified>
</cp:coreProperties>
</file>